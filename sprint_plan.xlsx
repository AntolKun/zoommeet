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Sprint 1" sheetId="2" state="visible" r:id="rId4"/>
    <sheet name="Sprint 2" sheetId="3" state="visible" r:id="rId5"/>
    <sheet name="Sprint 3" sheetId="4" state="visible" r:id="rId6"/>
    <sheet name="Sprint 4" sheetId="5" state="visible" r:id="rId7"/>
    <sheet name="Sprint 5" sheetId="6" state="visible" r:id="rId8"/>
    <sheet name="Sprint 6" sheetId="7" state="visible" r:id="rId9"/>
    <sheet name="Progress 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<sst xmlns="http://schemas.openxmlformats.org/spreadsheetml/2006/main" count="395" uniqueCount="214">
  <si>
    <t xml:space="preserve">Sprint Plan: Video Conference App</t>
  </si>
  <si>
    <t xml:space="preserve">Solo Developer | Full-time (6-8 jam/hari) | Target: Eksplor → MVP</t>
  </si>
  <si>
    <t xml:space="preserve">PROJECT INFO</t>
  </si>
  <si>
    <t xml:space="preserve">Stack Backend</t>
  </si>
  <si>
    <t xml:space="preserve">Go + Gin + MySQL + LiveKit SDK</t>
  </si>
  <si>
    <t xml:space="preserve">Stack Frontend</t>
  </si>
  <si>
    <t xml:space="preserve">Next.js 14 + LiveKit React Components</t>
  </si>
  <si>
    <t xml:space="preserve">Infrastructure</t>
  </si>
  <si>
    <t xml:space="preserve">Docker Compose (LiveKit + MySQL + Redis)</t>
  </si>
  <si>
    <t xml:space="preserve">Total Sprint</t>
  </si>
  <si>
    <t xml:space="preserve">6 minggu (Sprint 4-6 opsional)</t>
  </si>
  <si>
    <t xml:space="preserve">Total Hari Kerja</t>
  </si>
  <si>
    <t xml:space="preserve">30 hari (5 hari/minggu × 6 minggu)</t>
  </si>
  <si>
    <t xml:space="preserve">Estimasi Jam</t>
  </si>
  <si>
    <t xml:space="preserve">180-240 jam (6-8 jam/hari)</t>
  </si>
  <si>
    <t xml:space="preserve">SPRINT SUMMARY</t>
  </si>
  <si>
    <t xml:space="preserve">Sprint</t>
  </si>
  <si>
    <t xml:space="preserve">Minggu</t>
  </si>
  <si>
    <t xml:space="preserve">Goal</t>
  </si>
  <si>
    <t xml:space="preserve">Output Demo</t>
  </si>
  <si>
    <t xml:space="preserve">Status</t>
  </si>
  <si>
    <t xml:space="preserve">Catatan</t>
  </si>
  <si>
    <t xml:space="preserve">Sprint 1</t>
  </si>
  <si>
    <t xml:space="preserve">Minggu 1</t>
  </si>
  <si>
    <t xml:space="preserve">Foundation &amp; Video Call Jalan</t>
  </si>
  <si>
    <t xml:space="preserve">Video call multi-peserta di localhost</t>
  </si>
  <si>
    <t xml:space="preserve">Belum mulai</t>
  </si>
  <si>
    <t xml:space="preserve">Wajib</t>
  </si>
  <si>
    <t xml:space="preserve">Sprint 2</t>
  </si>
  <si>
    <t xml:space="preserve">Minggu 2</t>
  </si>
  <si>
    <t xml:space="preserve">Auth &amp; Database</t>
  </si>
  <si>
    <t xml:space="preserve">User register/login, room punya owner</t>
  </si>
  <si>
    <t xml:space="preserve">Sprint 3</t>
  </si>
  <si>
    <t xml:space="preserve">Minggu 3</t>
  </si>
  <si>
    <t xml:space="preserve">Room Management</t>
  </si>
  <si>
    <t xml:space="preserve">Buat room, share link, dashboard</t>
  </si>
  <si>
    <t xml:space="preserve">Sprint 4</t>
  </si>
  <si>
    <t xml:space="preserve">Minggu 4</t>
  </si>
  <si>
    <t xml:space="preserve">Meeting Features Lanjutan</t>
  </si>
  <si>
    <t xml:space="preserve">Pre-join, host controls, recording</t>
  </si>
  <si>
    <t xml:space="preserve">Opsional</t>
  </si>
  <si>
    <t xml:space="preserve">Sprint 5</t>
  </si>
  <si>
    <t xml:space="preserve">Minggu 5</t>
  </si>
  <si>
    <t xml:space="preserve">Fitur Pembeda (pilih 1-2)</t>
  </si>
  <si>
    <t xml:space="preserve">Waiting room / AI / breakout / dll</t>
  </si>
  <si>
    <t xml:space="preserve">Sprint 6</t>
  </si>
  <si>
    <t xml:space="preserve">Minggu 6</t>
  </si>
  <si>
    <t xml:space="preserve">Production Deploy</t>
  </si>
  <si>
    <t xml:space="preserve">Aplikasi live di internet</t>
  </si>
  <si>
    <t xml:space="preserve">Recommended</t>
  </si>
  <si>
    <t xml:space="preserve">⚠️ DECISION POINT SETELAH SPRINT 3</t>
  </si>
  <si>
    <t xml:space="preserve">Lanjut polish jadi produk</t>
  </si>
  <si>
    <t xml:space="preserve">→ Sprint 4-6 berurutan</t>
  </si>
  <si>
    <t xml:space="preserve">Eksplor fitur unik</t>
  </si>
  <si>
    <t xml:space="preserve">→ Skip ke fitur menarik (Sprint 5)</t>
  </si>
  <si>
    <t xml:space="preserve">Cukup buat portfolio</t>
  </si>
  <si>
    <t xml:space="preserve">→ Langsung ke Sprint 6 (deploy)</t>
  </si>
  <si>
    <t xml:space="preserve">Mau pivot/ganti arah</t>
  </si>
  <si>
    <t xml:space="preserve">→ Fondasi Sprint 1-3 tetap reusable</t>
  </si>
  <si>
    <t xml:space="preserve">DAILY ROUTINE (Anti-Burnout)</t>
  </si>
  <si>
    <t xml:space="preserve">Pagi (3-4 jam)</t>
  </si>
  <si>
    <t xml:space="preserve">Coding fitur baru, deep thinking work</t>
  </si>
  <si>
    <t xml:space="preserve">Siang (1 jam)</t>
  </si>
  <si>
    <t xml:space="preserve">Istirahat total, jangan buka kode</t>
  </si>
  <si>
    <t xml:space="preserve">Sore (2-3 jam)</t>
  </si>
  <si>
    <t xml:space="preserve">Testing, debug, dokumentasi, refactor</t>
  </si>
  <si>
    <t xml:space="preserve">Akhir hari (15 menit)</t>
  </si>
  <si>
    <t xml:space="preserve">Journal: kelar apa, stuck apa, plan besok</t>
  </si>
  <si>
    <t xml:space="preserve">Weekend</t>
  </si>
  <si>
    <t xml:space="preserve">Istirahat total atau max 1 hari ringan</t>
  </si>
  <si>
    <t xml:space="preserve">Sprint 1 — Sprint 1</t>
  </si>
  <si>
    <t xml:space="preserve">Minggu 1 | Goal: Foundation &amp; Video Call Jalan</t>
  </si>
  <si>
    <t xml:space="preserve">Hari</t>
  </si>
  <si>
    <t xml:space="preserve">Task Utama</t>
  </si>
  <si>
    <t xml:space="preserve">Detail Sub-task</t>
  </si>
  <si>
    <t xml:space="preserve">Output / Demo</t>
  </si>
  <si>
    <t xml:space="preserve">Blocker / Catatan</t>
  </si>
  <si>
    <t xml:space="preserve">Senin</t>
  </si>
  <si>
    <t xml:space="preserve">Setup project &amp; infrastructure</t>
  </si>
  <si>
    <t xml:space="preserve">git init, struktur folder, README, docker-compose.yml (LiveKit + MySQL + Redis)</t>
  </si>
  <si>
    <t xml:space="preserve">docker-compose up jalan tanpa error</t>
  </si>
  <si>
    <t xml:space="preserve">Selasa</t>
  </si>
  <si>
    <t xml:space="preserve">Backend Go skeleton</t>
  </si>
  <si>
    <t xml:space="preserve">go mod init, install Gin, struktur internal/, config loader, endpoint /api/health</t>
  </si>
  <si>
    <t xml:space="preserve">curl localhost:8080/api/health → OK</t>
  </si>
  <si>
    <t xml:space="preserve">Rabu</t>
  </si>
  <si>
    <t xml:space="preserve">Endpoint generate token LiveKit</t>
  </si>
  <si>
    <t xml:space="preserve">Install livekit/server-sdk-go/v2, handler /api/token, validasi input, JWT generation</t>
  </si>
  <si>
    <t xml:space="preserve">Token valid, bisa decode di jwt.io</t>
  </si>
  <si>
    <t xml:space="preserve">Kamis</t>
  </si>
  <si>
    <t xml:space="preserve">Frontend Next.js setup + lobby</t>
  </si>
  <si>
    <t xml:space="preserve">create-next-app, install LiveKit React, halaman lobby (form nama + room)</t>
  </si>
  <si>
    <t xml:space="preserve">UI lobby jadi, validasi input works</t>
  </si>
  <si>
    <t xml:space="preserve">Jumat</t>
  </si>
  <si>
    <t xml:space="preserve">Halaman room &amp; integrasi end-to-end</t>
  </si>
  <si>
    <t xml:space="preserve">Halaman /room/[name], LiveKitRoom component, fetch token, test 3 browser</t>
  </si>
  <si>
    <t xml:space="preserve">Video call multi-peserta jalan</t>
  </si>
  <si>
    <t xml:space="preserve">TOTAL ESTIMASI JAM</t>
  </si>
  <si>
    <t xml:space="preserve">✅ CHECKPOINT SPRINT</t>
  </si>
  <si>
    <t xml:space="preserve">Buka 3 tab browser (atau 1 normal + 2 incognito), join room sama dengan nama berbeda. Semua bisa lihat dan dengar satu sama lain. Test mute/unmute dan camera on/off.</t>
  </si>
  <si>
    <t xml:space="preserve">📝 CATATAN / RISK</t>
  </si>
  <si>
    <t xml:space="preserve">Hari Senin paling berisiko kalau Docker/Go belum pernah dipakai. Buffer ke Selasa kalau perlu. Jangan stuck lebih dari 2 jam — cari jawaban di Stack Overflow / docs LiveKit / tanya AI.</t>
  </si>
  <si>
    <t xml:space="preserve">Sprint 2 — Sprint 2</t>
  </si>
  <si>
    <t xml:space="preserve">Minggu 2 | Goal: Auth &amp; Database</t>
  </si>
  <si>
    <t xml:space="preserve">Database design &amp; migration</t>
  </si>
  <si>
    <t xml:space="preserve">Schema users, rooms, room_participants. Install golang-migrate, buat migration file pertama</t>
  </si>
  <si>
    <t xml:space="preserve">Tabel kebuat di MySQL, bisa SELECT</t>
  </si>
  <si>
    <t xml:space="preserve">Repository layer</t>
  </si>
  <si>
    <t xml:space="preserve">Install GORM, definisi model struct, repository pattern untuk users (Create, FindByEmail, FindByID)</t>
  </si>
  <si>
    <t xml:space="preserve">Unit test passing untuk semua method</t>
  </si>
  <si>
    <t xml:space="preserve">Auth endpoints</t>
  </si>
  <si>
    <t xml:space="preserve">POST /api/auth/register (bcrypt hash), POST /api/auth/login (verify + JWT), error handling</t>
  </si>
  <si>
    <t xml:space="preserve">Postman: register → login flow works</t>
  </si>
  <si>
    <t xml:space="preserve">JWT middleware</t>
  </si>
  <si>
    <t xml:space="preserve">Middleware validasi JWT, extract user dari token, protect /api/token endpoint, refresh token logic</t>
  </si>
  <si>
    <t xml:space="preserve">Endpoint return 401 tanpa token valid</t>
  </si>
  <si>
    <t xml:space="preserve">Frontend auth flow</t>
  </si>
  <si>
    <t xml:space="preserve">Halaman /login, /register, simpan JWT di httpOnly cookie atau localStorage, redirect logic, integrasi ke flow join</t>
  </si>
  <si>
    <t xml:space="preserve">User harus login dulu sebelum join</t>
  </si>
  <si>
    <t xml:space="preserve">Logout dari aplikasi, coba akses /room/test → harus diredirect ke /login. Login dengan akun valid → bisa join room. Coba register email duplikat → error message muncul.</t>
  </si>
  <si>
    <t xml:space="preserve">Security risk: JANGAN simpan JWT di localStorage kalau bisa pakai httpOnly cookie. Tapi kalau cookie ribet di awal, localStorage OK untuk MVP — refactor nanti. Bcrypt cost 10-12 cukup.</t>
  </si>
  <si>
    <t xml:space="preserve">Sprint 3 — Sprint 3</t>
  </si>
  <si>
    <t xml:space="preserve">Minggu 3 | Goal: Room Management</t>
  </si>
  <si>
    <t xml:space="preserve">Endpoint create room</t>
  </si>
  <si>
    <t xml:space="preserve">POST /api/rooms, generate kode unik (mis: nanoid), simpan owner_id, validasi input</t>
  </si>
  <si>
    <t xml:space="preserve">Room tersimpan dengan owner yang benar</t>
  </si>
  <si>
    <t xml:space="preserve">Endpoint list &amp; detail room</t>
  </si>
  <si>
    <t xml:space="preserve">GET /api/rooms/my (room user), GET /api/rooms/:code (detail untuk join), validasi akses</t>
  </si>
  <si>
    <t xml:space="preserve">API return data sesuai user</t>
  </si>
  <si>
    <t xml:space="preserve">Frontend dashboard</t>
  </si>
  <si>
    <t xml:space="preserve">Halaman /dashboard, list room user, tombol Create Meeting (instant generate link), copy link button</t>
  </si>
  <si>
    <t xml:space="preserve">Dashboard functional, copy link works</t>
  </si>
  <si>
    <t xml:space="preserve">Halaman join via link</t>
  </si>
  <si>
    <t xml:space="preserve">Route /join/[code], validasi room exist sebelum minta token, handle kasus room tidak ada</t>
  </si>
  <si>
    <t xml:space="preserve">Share link bisa dibuka orang lain</t>
  </si>
  <si>
    <t xml:space="preserve">Polish &amp; responsive</t>
  </si>
  <si>
    <t xml:space="preserve">Loading states, error boundaries, empty states, mobile responsive, favicon, meta tags</t>
  </si>
  <si>
    <t xml:space="preserve">Aplikasi terasa seperti produk</t>
  </si>
  <si>
    <t xml:space="preserve">Full flow demo: register akun baru → login → buat room di dashboard → copy link → buka di browser lain → register akun kedua → join via link → video call jalan. Demo ke 3-5 teman, catat feedback mereka.</t>
  </si>
  <si>
    <t xml:space="preserve">DECISION POINT setelah sprint ini! Pause 1-2 hari, demo ke orang, dengar feedback. Itu lebih informatif daripada nebak fitur. Jangan langsung gas Sprint 4 tanpa evaluasi dulu.</t>
  </si>
  <si>
    <t xml:space="preserve">Sprint 4 — Sprint 4</t>
  </si>
  <si>
    <t xml:space="preserve">Minggu 4 | Goal: Meeting Features Lanjutan</t>
  </si>
  <si>
    <t xml:space="preserve">⚡ OPSIONAL — Tergantung arah eksplorasi setelah Sprint 3</t>
  </si>
  <si>
    <t xml:space="preserve">Pre-join screen</t>
  </si>
  <si>
    <t xml:space="preserve">Preview kamera &amp; mic sebelum masuk room, pilih device (camera, mic, speaker), test audio</t>
  </si>
  <si>
    <t xml:space="preserve">User bisa setup device sebelum join</t>
  </si>
  <si>
    <t xml:space="preserve">Custom video grid</t>
  </si>
  <si>
    <t xml:space="preserve">Layout speaker view vs grid view, pin participant, active speaker indicator (pakai LiveKit hooks)</t>
  </si>
  <si>
    <t xml:space="preserve">Layout switch works smooth</t>
  </si>
  <si>
    <t xml:space="preserve">Chat in-meeting custom</t>
  </si>
  <si>
    <t xml:space="preserve">UI chat custom (bukan default LiveKit), pakai data channel, persistent ke MySQL untuk history</t>
  </si>
  <si>
    <t xml:space="preserve">Chat real-time + history tersimpan</t>
  </si>
  <si>
    <t xml:space="preserve">Host controls</t>
  </si>
  <si>
    <t xml:space="preserve">Mute participant, kick, lock room. Pakai LiveKit RoomService API dari backend Go</t>
  </si>
  <si>
    <t xml:space="preserve">Host bisa kontrol participant</t>
  </si>
  <si>
    <t xml:space="preserve">Recording</t>
  </si>
  <si>
    <t xml:space="preserve">LiveKit Egress API, simpan ke local volume atau S3 (MinIO untuk dev), endpoint download recording</t>
  </si>
  <si>
    <t xml:space="preserve">Recording works, file bisa diputar</t>
  </si>
  <si>
    <t xml:space="preserve">Aplikasi punya karakter sendiri, bukan cuma wrapper LiveKit default. Test semua fitur dengan 3+ peserta. Recording bisa di-download dan diputar di VLC/browser.</t>
  </si>
  <si>
    <t xml:space="preserve">Recording bagian paling kompleks — Egress butuh service tambahan jalan di Docker. Kalau stuck, skip dulu, lanjut Sprint 5. Bisa kembali ke recording nanti.</t>
  </si>
  <si>
    <t xml:space="preserve">Sprint 5 — Sprint 5</t>
  </si>
  <si>
    <t xml:space="preserve">Minggu 5 | Goal: Fitur Pembeda (Pilih 1-2)</t>
  </si>
  <si>
    <t xml:space="preserve">Pilih 1 fitur pembeda</t>
  </si>
  <si>
    <t xml:space="preserve">Diskusi/research opsi: Waiting Room, AI Transcription, Breakout Rooms, Polling, Meeting Summary, Whiteboard. Pilih 1-2 paling relevan</t>
  </si>
  <si>
    <t xml:space="preserve">Decision document fitur mana</t>
  </si>
  <si>
    <t xml:space="preserve">Implementasi fitur 1 — Day 1</t>
  </si>
  <si>
    <t xml:space="preserve">Setup library/API yang dibutuhkan, design UI, backend endpoint kalau perlu</t>
  </si>
  <si>
    <t xml:space="preserve">Foundation fitur jadi</t>
  </si>
  <si>
    <t xml:space="preserve">Implementasi fitur 1 — Day 2</t>
  </si>
  <si>
    <t xml:space="preserve">Lanjut implementasi, integrasi ke flow meeting yang ada</t>
  </si>
  <si>
    <t xml:space="preserve">Fitur 1 working end-to-end</t>
  </si>
  <si>
    <t xml:space="preserve">Implementasi fitur 2 (kalau pilih 2)</t>
  </si>
  <si>
    <t xml:space="preserve">Fitur kedua, atau polish fitur 1 + tambah edge case</t>
  </si>
  <si>
    <t xml:space="preserve">Fitur 2 working / fitur 1 robust</t>
  </si>
  <si>
    <t xml:space="preserve">Testing &amp; demo prep</t>
  </si>
  <si>
    <t xml:space="preserve">Test semua skenario, fix bug, rekam demo video 2-3 menit untuk portfolio</t>
  </si>
  <si>
    <t xml:space="preserve">Demo video siap di-share</t>
  </si>
  <si>
    <t xml:space="preserve">Aplikasi kamu punya 1-2 fitur yang membuatnya beda dari Zoom/Meet generik. Demo video 2-3 menit yang highlight fitur ini. Cocok buat portfolio atau pitch ke user.</t>
  </si>
  <si>
    <t xml:space="preserve">JANGAN ambil semua fitur sekaligus. Solo developer + 5 hari = realistis 1-2 fitur dengan kualitas baik, bukan 5 fitur setengah jadi. Pilih yang paling sesuai target user kamu.</t>
  </si>
  <si>
    <t xml:space="preserve">Sprint 6 — Sprint 6</t>
  </si>
  <si>
    <t xml:space="preserve">Minggu 6 | Goal: Production Deploy</t>
  </si>
  <si>
    <t xml:space="preserve">VPS setup</t>
  </si>
  <si>
    <t xml:space="preserve">Beli VPS (Hetzner CX21 ~€5/bulan atau DigitalOcean), beli domain, setup DNS, install Docker + Docker Compose</t>
  </si>
  <si>
    <t xml:space="preserve">VPS siap, domain pointing</t>
  </si>
  <si>
    <t xml:space="preserve">LiveKit production deploy</t>
  </si>
  <si>
    <t xml:space="preserve">Deploy LiveKit (bukan --dev), generate API key proper, setup TURN dengan coturn, firewall rules (UDP)</t>
  </si>
  <si>
    <t xml:space="preserve">LiveKit production accessible</t>
  </si>
  <si>
    <t xml:space="preserve">Backend Go deploy</t>
  </si>
  <si>
    <t xml:space="preserve">Build Docker image backend, deploy ke VPS atau Railway/Fly.io, MySQL managed (PlanetScale/Aiven) atau self-host</t>
  </si>
  <si>
    <t xml:space="preserve">API production accessible</t>
  </si>
  <si>
    <t xml:space="preserve">Frontend Next.js deploy</t>
  </si>
  <si>
    <t xml:space="preserve">Deploy ke Vercel, env vars production, custom domain, SSL via Vercel atau Cloudflare</t>
  </si>
  <si>
    <t xml:space="preserve">Aplikasi accessible di domain</t>
  </si>
  <si>
    <t xml:space="preserve">Monitoring &amp; launch</t>
  </si>
  <si>
    <t xml:space="preserve">Uptime Kuma, Sentry free tier untuk error logging, test E2E di production, buat README launch</t>
  </si>
  <si>
    <t xml:space="preserve">🚀 Aplikasi LIVE di internet</t>
  </si>
  <si>
    <t xml:space="preserve">Share link aplikasi ke siapa saja di internet, mereka bisa join meeting dari device manapun. Aplikasi kamu LIVE. Tweet/post hasil di LinkedIn untuk dapat exposure.</t>
  </si>
  <si>
    <t xml:space="preserve">TURN server WAJIB di production, kalau tidak, peserta di network ketat (kantor, hotel) tidak bisa connect. Test dari minimal 2 jaringan berbeda (rumah + tethering hp) sebelum announce.</t>
  </si>
  <si>
    <t xml:space="preserve">Daily Progress Tracker</t>
  </si>
  <si>
    <t xml:space="preserve">Update setiap hari. Formula akan auto-hitung total.</t>
  </si>
  <si>
    <t xml:space="preserve">Tanggal</t>
  </si>
  <si>
    <t xml:space="preserve">Jam Estimasi</t>
  </si>
  <si>
    <t xml:space="preserve">Jam Aktual</t>
  </si>
  <si>
    <t xml:space="preserve">Selisih</t>
  </si>
  <si>
    <t xml:space="preserve">Task Done?</t>
  </si>
  <si>
    <t xml:space="preserve">Mood (1-5)</t>
  </si>
  <si>
    <t xml:space="preserve">TOTAL</t>
  </si>
  <si>
    <t xml:space="preserve">LEGEND</t>
  </si>
  <si>
    <t xml:space="preserve">Y = Selesai / N = Belum / P = Partial</t>
  </si>
  <si>
    <t xml:space="preserve">1 = Burnout, 3 = OK, 5 = Flow state</t>
  </si>
  <si>
    <t xml:space="preserve">Selisih +</t>
  </si>
  <si>
    <t xml:space="preserve">Lebih lama dari estimasi (perlu adjust)</t>
  </si>
  <si>
    <t xml:space="preserve">Selisih -</t>
  </si>
  <si>
    <t xml:space="preserve">Lebih cepat dari estimasi (bagus!)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</si>
</sst>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40AF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sz val="12"/>
      <color rgb="FF1E40A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2410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40AF"/>
        <bgColor rgb="FF003366"/>
      </patternFill>
    </fill>
    <fill>
      <patternFill patternType="solid">
        <fgColor rgb="FFE0E7FF"/>
        <bgColor rgb="FFFEE2E2"/>
      </patternFill>
    </fill>
    <fill>
      <patternFill patternType="solid">
        <fgColor rgb="FF3B82F6"/>
        <bgColor rgb="FF0066CC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E0E7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C2410C"/>
      <rgbColor rgb="FF993366"/>
      <rgbColor rgb="FF1E40A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38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5" t="s">
        <v>4</v>
      </c>
      <c r="C5" s="5"/>
      <c r="D5" s="5"/>
      <c r="E5" s="5"/>
      <c r="F5" s="5"/>
    </row>
    <row r="6" customFormat="false" ht="15" hidden="false" customHeight="false" outlineLevel="0" collapsed="false">
      <c r="A6" s="4" t="s">
        <v>5</v>
      </c>
      <c r="B6" s="5" t="s">
        <v>6</v>
      </c>
      <c r="C6" s="5"/>
      <c r="D6" s="5"/>
      <c r="E6" s="5"/>
      <c r="F6" s="5"/>
    </row>
    <row r="7" customFormat="false" ht="15" hidden="false" customHeight="false" outlineLevel="0" collapsed="false">
      <c r="A7" s="4" t="s">
        <v>7</v>
      </c>
      <c r="B7" s="5" t="s">
        <v>8</v>
      </c>
      <c r="C7" s="5"/>
      <c r="D7" s="5"/>
      <c r="E7" s="5"/>
      <c r="F7" s="5"/>
    </row>
    <row r="8" customFormat="false" ht="15" hidden="false" customHeight="false" outlineLevel="0" collapsed="false">
      <c r="A8" s="4" t="s">
        <v>9</v>
      </c>
      <c r="B8" s="5" t="s">
        <v>10</v>
      </c>
      <c r="C8" s="5"/>
      <c r="D8" s="5"/>
      <c r="E8" s="5"/>
      <c r="F8" s="5"/>
    </row>
    <row r="9" customFormat="false" ht="15" hidden="false" customHeight="false" outlineLevel="0" collapsed="false">
      <c r="A9" s="4" t="s">
        <v>11</v>
      </c>
      <c r="B9" s="5" t="s">
        <v>12</v>
      </c>
      <c r="C9" s="5"/>
      <c r="D9" s="5"/>
      <c r="E9" s="5"/>
      <c r="F9" s="5"/>
    </row>
    <row r="10" customFormat="false" ht="15" hidden="false" customHeight="false" outlineLevel="0" collapsed="false">
      <c r="A10" s="4" t="s">
        <v>13</v>
      </c>
      <c r="B10" s="5" t="s">
        <v>14</v>
      </c>
      <c r="C10" s="5"/>
      <c r="D10" s="5"/>
      <c r="E10" s="5"/>
      <c r="F10" s="5"/>
    </row>
    <row r="12" customFormat="false" ht="15" hidden="false" customHeight="false" outlineLevel="0" collapsed="false">
      <c r="A12" s="3" t="s">
        <v>15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6" t="s">
        <v>16</v>
      </c>
      <c r="B13" s="6" t="s">
        <v>17</v>
      </c>
      <c r="C13" s="6" t="s">
        <v>18</v>
      </c>
      <c r="D13" s="6" t="s">
        <v>19</v>
      </c>
      <c r="E13" s="6" t="s">
        <v>20</v>
      </c>
      <c r="F13" s="6" t="s">
        <v>21</v>
      </c>
    </row>
    <row r="14" customFormat="false" ht="15" hidden="false" customHeight="false" outlineLevel="0" collapsed="false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</row>
    <row r="15" customFormat="false" ht="15" hidden="false" customHeight="false" outlineLevel="0" collapsed="false">
      <c r="A15" s="7" t="s">
        <v>28</v>
      </c>
      <c r="B15" s="7" t="s">
        <v>29</v>
      </c>
      <c r="C15" s="7" t="s">
        <v>30</v>
      </c>
      <c r="D15" s="7" t="s">
        <v>31</v>
      </c>
      <c r="E15" s="7" t="s">
        <v>26</v>
      </c>
      <c r="F15" s="7" t="s">
        <v>27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26</v>
      </c>
      <c r="F16" s="7" t="s">
        <v>27</v>
      </c>
    </row>
    <row r="17" customFormat="false" ht="15" hidden="false" customHeight="false" outlineLevel="0" collapsed="false">
      <c r="A17" s="7" t="s">
        <v>36</v>
      </c>
      <c r="B17" s="7" t="s">
        <v>37</v>
      </c>
      <c r="C17" s="7" t="s">
        <v>38</v>
      </c>
      <c r="D17" s="7" t="s">
        <v>39</v>
      </c>
      <c r="E17" s="7" t="s">
        <v>26</v>
      </c>
      <c r="F17" s="8" t="s">
        <v>40</v>
      </c>
    </row>
    <row r="18" customFormat="false" ht="15" hidden="false" customHeight="false" outlineLevel="0" collapsed="false">
      <c r="A18" s="7" t="s">
        <v>41</v>
      </c>
      <c r="B18" s="7" t="s">
        <v>42</v>
      </c>
      <c r="C18" s="7" t="s">
        <v>43</v>
      </c>
      <c r="D18" s="7" t="s">
        <v>44</v>
      </c>
      <c r="E18" s="7" t="s">
        <v>26</v>
      </c>
      <c r="F18" s="8" t="s">
        <v>40</v>
      </c>
    </row>
    <row r="19" customFormat="false" ht="15" hidden="false" customHeight="false" outlineLevel="0" collapsed="false">
      <c r="A19" s="7" t="s">
        <v>45</v>
      </c>
      <c r="B19" s="7" t="s">
        <v>46</v>
      </c>
      <c r="C19" s="7" t="s">
        <v>47</v>
      </c>
      <c r="D19" s="7" t="s">
        <v>48</v>
      </c>
      <c r="E19" s="7" t="s">
        <v>26</v>
      </c>
      <c r="F19" s="8" t="s">
        <v>49</v>
      </c>
    </row>
    <row r="22" customFormat="false" ht="15" hidden="false" customHeight="false" outlineLevel="0" collapsed="false">
      <c r="A22" s="3" t="s">
        <v>50</v>
      </c>
      <c r="B22" s="3"/>
      <c r="C22" s="3"/>
      <c r="D22" s="3"/>
      <c r="E22" s="3"/>
      <c r="F22" s="3"/>
    </row>
    <row r="23" customFormat="false" ht="15" hidden="false" customHeight="false" outlineLevel="0" collapsed="false">
      <c r="A23" s="4" t="s">
        <v>51</v>
      </c>
      <c r="B23" s="5" t="s">
        <v>52</v>
      </c>
      <c r="C23" s="5"/>
      <c r="D23" s="5"/>
      <c r="E23" s="5"/>
      <c r="F23" s="5"/>
    </row>
    <row r="24" customFormat="false" ht="15" hidden="false" customHeight="false" outlineLevel="0" collapsed="false">
      <c r="A24" s="4" t="s">
        <v>53</v>
      </c>
      <c r="B24" s="5" t="s">
        <v>54</v>
      </c>
      <c r="C24" s="5"/>
      <c r="D24" s="5"/>
      <c r="E24" s="5"/>
      <c r="F24" s="5"/>
    </row>
    <row r="25" customFormat="false" ht="15" hidden="false" customHeight="false" outlineLevel="0" collapsed="false">
      <c r="A25" s="4" t="s">
        <v>55</v>
      </c>
      <c r="B25" s="5" t="s">
        <v>56</v>
      </c>
      <c r="C25" s="5"/>
      <c r="D25" s="5"/>
      <c r="E25" s="5"/>
      <c r="F25" s="5"/>
    </row>
    <row r="26" customFormat="false" ht="15" hidden="false" customHeight="false" outlineLevel="0" collapsed="false">
      <c r="A26" s="4" t="s">
        <v>57</v>
      </c>
      <c r="B26" s="5" t="s">
        <v>58</v>
      </c>
      <c r="C26" s="5"/>
      <c r="D26" s="5"/>
      <c r="E26" s="5"/>
      <c r="F26" s="5"/>
    </row>
    <row r="28" customFormat="false" ht="15" hidden="false" customHeight="false" outlineLevel="0" collapsed="false">
      <c r="A28" s="3" t="s">
        <v>59</v>
      </c>
      <c r="B28" s="3"/>
      <c r="C28" s="3"/>
      <c r="D28" s="3"/>
      <c r="E28" s="3"/>
      <c r="F28" s="3"/>
    </row>
    <row r="29" customFormat="false" ht="15" hidden="false" customHeight="false" outlineLevel="0" collapsed="false">
      <c r="A29" s="4" t="s">
        <v>60</v>
      </c>
      <c r="B29" s="5" t="s">
        <v>61</v>
      </c>
      <c r="C29" s="5"/>
      <c r="D29" s="5"/>
      <c r="E29" s="5"/>
      <c r="F29" s="5"/>
    </row>
    <row r="30" customFormat="false" ht="15" hidden="false" customHeight="false" outlineLevel="0" collapsed="false">
      <c r="A30" s="4" t="s">
        <v>62</v>
      </c>
      <c r="B30" s="5" t="s">
        <v>63</v>
      </c>
      <c r="C30" s="5"/>
      <c r="D30" s="5"/>
      <c r="E30" s="5"/>
      <c r="F30" s="5"/>
    </row>
    <row r="31" customFormat="false" ht="15" hidden="false" customHeight="false" outlineLevel="0" collapsed="false">
      <c r="A31" s="4" t="s">
        <v>64</v>
      </c>
      <c r="B31" s="5" t="s">
        <v>65</v>
      </c>
      <c r="C31" s="5"/>
      <c r="D31" s="5"/>
      <c r="E31" s="5"/>
      <c r="F31" s="5"/>
    </row>
    <row r="32" customFormat="false" ht="15" hidden="false" customHeight="false" outlineLevel="0" collapsed="false">
      <c r="A32" s="4" t="s">
        <v>66</v>
      </c>
      <c r="B32" s="5" t="s">
        <v>67</v>
      </c>
      <c r="C32" s="5"/>
      <c r="D32" s="5"/>
      <c r="E32" s="5"/>
      <c r="F32" s="5"/>
    </row>
    <row r="33" customFormat="false" ht="15" hidden="false" customHeight="false" outlineLevel="0" collapsed="false">
      <c r="A33" s="4" t="s">
        <v>68</v>
      </c>
      <c r="B33" s="5" t="s">
        <v>69</v>
      </c>
      <c r="C33" s="5"/>
      <c r="D33" s="5"/>
      <c r="E33" s="5"/>
      <c r="F33" s="5"/>
    </row>
  </sheetData>
  <mergeCells count="21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A12:F12"/>
    <mergeCell ref="A22:F22"/>
    <mergeCell ref="B23:F23"/>
    <mergeCell ref="B24:F24"/>
    <mergeCell ref="B25:F25"/>
    <mergeCell ref="B26:F26"/>
    <mergeCell ref="A28:F28"/>
    <mergeCell ref="B29:F29"/>
    <mergeCell ref="B30:F30"/>
    <mergeCell ref="B31:F31"/>
    <mergeCell ref="B32:F32"/>
    <mergeCell ref="B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70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71</v>
      </c>
      <c r="B2" s="2"/>
      <c r="C2" s="2"/>
      <c r="D2" s="2"/>
      <c r="E2" s="2"/>
      <c r="F2" s="2"/>
      <c r="G2" s="2"/>
    </row>
    <row r="4" customFormat="false" ht="26.85" hidden="false" customHeight="false" outlineLevel="0" collapsed="false">
      <c r="A4" s="6" t="s">
        <v>72</v>
      </c>
      <c r="B4" s="6" t="s">
        <v>73</v>
      </c>
      <c r="C4" s="6" t="s">
        <v>74</v>
      </c>
      <c r="D4" s="6" t="s">
        <v>75</v>
      </c>
      <c r="E4" s="6" t="s">
        <v>13</v>
      </c>
      <c r="F4" s="6" t="s">
        <v>20</v>
      </c>
      <c r="G4" s="6" t="s">
        <v>76</v>
      </c>
    </row>
    <row r="5" customFormat="false" ht="54.75" hidden="false" customHeight="true" outlineLevel="0" collapsed="false">
      <c r="A5" s="7" t="s">
        <v>77</v>
      </c>
      <c r="B5" s="7" t="s">
        <v>78</v>
      </c>
      <c r="C5" s="7" t="s">
        <v>79</v>
      </c>
      <c r="D5" s="7" t="s">
        <v>80</v>
      </c>
      <c r="E5" s="7" t="n">
        <v>7</v>
      </c>
      <c r="F5" s="7" t="s">
        <v>26</v>
      </c>
      <c r="G5" s="7"/>
    </row>
    <row r="6" customFormat="false" ht="54.75" hidden="false" customHeight="true" outlineLevel="0" collapsed="false">
      <c r="A6" s="7" t="s">
        <v>81</v>
      </c>
      <c r="B6" s="7" t="s">
        <v>82</v>
      </c>
      <c r="C6" s="7" t="s">
        <v>83</v>
      </c>
      <c r="D6" s="7" t="s">
        <v>84</v>
      </c>
      <c r="E6" s="7" t="n">
        <v>6</v>
      </c>
      <c r="F6" s="7" t="s">
        <v>26</v>
      </c>
      <c r="G6" s="7"/>
    </row>
    <row r="7" customFormat="false" ht="54.75" hidden="false" customHeight="true" outlineLevel="0" collapsed="false">
      <c r="A7" s="7" t="s">
        <v>85</v>
      </c>
      <c r="B7" s="7" t="s">
        <v>86</v>
      </c>
      <c r="C7" s="7" t="s">
        <v>87</v>
      </c>
      <c r="D7" s="7" t="s">
        <v>88</v>
      </c>
      <c r="E7" s="7" t="n">
        <v>6</v>
      </c>
      <c r="F7" s="7" t="s">
        <v>26</v>
      </c>
      <c r="G7" s="7"/>
    </row>
    <row r="8" customFormat="false" ht="54.75" hidden="false" customHeight="true" outlineLevel="0" collapsed="false">
      <c r="A8" s="7" t="s">
        <v>89</v>
      </c>
      <c r="B8" s="7" t="s">
        <v>90</v>
      </c>
      <c r="C8" s="7" t="s">
        <v>91</v>
      </c>
      <c r="D8" s="7" t="s">
        <v>92</v>
      </c>
      <c r="E8" s="7" t="n">
        <v>7</v>
      </c>
      <c r="F8" s="7" t="s">
        <v>26</v>
      </c>
      <c r="G8" s="7"/>
    </row>
    <row r="9" customFormat="false" ht="54.75" hidden="false" customHeight="true" outlineLevel="0" collapsed="false">
      <c r="A9" s="7" t="s">
        <v>93</v>
      </c>
      <c r="B9" s="7" t="s">
        <v>94</v>
      </c>
      <c r="C9" s="7" t="s">
        <v>95</v>
      </c>
      <c r="D9" s="7" t="s">
        <v>96</v>
      </c>
      <c r="E9" s="7" t="n">
        <v>7</v>
      </c>
      <c r="F9" s="7" t="s">
        <v>26</v>
      </c>
      <c r="G9" s="7"/>
    </row>
    <row r="10" customFormat="false" ht="15" hidden="false" customHeight="false" outlineLevel="0" collapsed="false">
      <c r="D10" s="9" t="s">
        <v>97</v>
      </c>
      <c r="E10" s="10" t="n">
        <f aca="false">SUM(E5:E9)</f>
        <v>33</v>
      </c>
    </row>
    <row r="12" customFormat="false" ht="15" hidden="false" customHeight="false" outlineLevel="0" collapsed="false">
      <c r="A12" s="11" t="s">
        <v>98</v>
      </c>
      <c r="B12" s="11"/>
      <c r="C12" s="11"/>
      <c r="D12" s="11"/>
      <c r="E12" s="11"/>
      <c r="F12" s="11"/>
      <c r="G12" s="11"/>
    </row>
    <row r="13" customFormat="false" ht="39.75" hidden="false" customHeight="true" outlineLevel="0" collapsed="false">
      <c r="A13" s="12" t="s">
        <v>99</v>
      </c>
      <c r="B13" s="12"/>
      <c r="C13" s="12"/>
      <c r="D13" s="12"/>
      <c r="E13" s="12"/>
      <c r="F13" s="12"/>
      <c r="G13" s="12"/>
    </row>
    <row r="15" customFormat="false" ht="15" hidden="false" customHeight="false" outlineLevel="0" collapsed="false">
      <c r="A15" s="13" t="s">
        <v>100</v>
      </c>
      <c r="B15" s="13"/>
      <c r="C15" s="13"/>
      <c r="D15" s="13"/>
      <c r="E15" s="13"/>
      <c r="F15" s="13"/>
      <c r="G15" s="13"/>
    </row>
    <row r="16" customFormat="false" ht="60" hidden="false" customHeight="true" outlineLevel="0" collapsed="false">
      <c r="A16" s="12" t="s">
        <v>101</v>
      </c>
      <c r="B16" s="12"/>
      <c r="C16" s="12"/>
      <c r="D16" s="12"/>
      <c r="E16" s="12"/>
      <c r="F16" s="12"/>
      <c r="G16" s="12"/>
    </row>
  </sheetData>
  <mergeCells count="6">
    <mergeCell ref="A1:G1"/>
    <mergeCell ref="A2:G2"/>
    <mergeCell ref="A12:G12"/>
    <mergeCell ref="A13:G13"/>
    <mergeCell ref="A15:G15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102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103</v>
      </c>
      <c r="B2" s="2"/>
      <c r="C2" s="2"/>
      <c r="D2" s="2"/>
      <c r="E2" s="2"/>
      <c r="F2" s="2"/>
      <c r="G2" s="2"/>
    </row>
    <row r="4" customFormat="false" ht="26.85" hidden="false" customHeight="false" outlineLevel="0" collapsed="false">
      <c r="A4" s="6" t="s">
        <v>72</v>
      </c>
      <c r="B4" s="6" t="s">
        <v>73</v>
      </c>
      <c r="C4" s="6" t="s">
        <v>74</v>
      </c>
      <c r="D4" s="6" t="s">
        <v>75</v>
      </c>
      <c r="E4" s="6" t="s">
        <v>13</v>
      </c>
      <c r="F4" s="6" t="s">
        <v>20</v>
      </c>
      <c r="G4" s="6" t="s">
        <v>76</v>
      </c>
    </row>
    <row r="5" customFormat="false" ht="54.75" hidden="false" customHeight="true" outlineLevel="0" collapsed="false">
      <c r="A5" s="7" t="s">
        <v>77</v>
      </c>
      <c r="B5" s="7" t="s">
        <v>104</v>
      </c>
      <c r="C5" s="7" t="s">
        <v>105</v>
      </c>
      <c r="D5" s="7" t="s">
        <v>106</v>
      </c>
      <c r="E5" s="7" t="n">
        <v>6</v>
      </c>
      <c r="F5" s="7" t="s">
        <v>26</v>
      </c>
      <c r="G5" s="7"/>
    </row>
    <row r="6" customFormat="false" ht="54.75" hidden="false" customHeight="true" outlineLevel="0" collapsed="false">
      <c r="A6" s="7" t="s">
        <v>81</v>
      </c>
      <c r="B6" s="7" t="s">
        <v>107</v>
      </c>
      <c r="C6" s="7" t="s">
        <v>108</v>
      </c>
      <c r="D6" s="7" t="s">
        <v>109</v>
      </c>
      <c r="E6" s="7" t="n">
        <v>7</v>
      </c>
      <c r="F6" s="7" t="s">
        <v>26</v>
      </c>
      <c r="G6" s="7"/>
    </row>
    <row r="7" customFormat="false" ht="54.75" hidden="false" customHeight="true" outlineLevel="0" collapsed="false">
      <c r="A7" s="7" t="s">
        <v>85</v>
      </c>
      <c r="B7" s="7" t="s">
        <v>110</v>
      </c>
      <c r="C7" s="7" t="s">
        <v>111</v>
      </c>
      <c r="D7" s="7" t="s">
        <v>112</v>
      </c>
      <c r="E7" s="7" t="n">
        <v>7</v>
      </c>
      <c r="F7" s="7" t="s">
        <v>26</v>
      </c>
      <c r="G7" s="7"/>
    </row>
    <row r="8" customFormat="false" ht="54.75" hidden="false" customHeight="true" outlineLevel="0" collapsed="false">
      <c r="A8" s="7" t="s">
        <v>89</v>
      </c>
      <c r="B8" s="7" t="s">
        <v>113</v>
      </c>
      <c r="C8" s="7" t="s">
        <v>114</v>
      </c>
      <c r="D8" s="7" t="s">
        <v>115</v>
      </c>
      <c r="E8" s="7" t="n">
        <v>6</v>
      </c>
      <c r="F8" s="7" t="s">
        <v>26</v>
      </c>
      <c r="G8" s="7"/>
    </row>
    <row r="9" customFormat="false" ht="54.75" hidden="false" customHeight="true" outlineLevel="0" collapsed="false">
      <c r="A9" s="7" t="s">
        <v>93</v>
      </c>
      <c r="B9" s="7" t="s">
        <v>116</v>
      </c>
      <c r="C9" s="7" t="s">
        <v>117</v>
      </c>
      <c r="D9" s="7" t="s">
        <v>118</v>
      </c>
      <c r="E9" s="7" t="n">
        <v>7</v>
      </c>
      <c r="F9" s="7" t="s">
        <v>26</v>
      </c>
      <c r="G9" s="7"/>
    </row>
    <row r="10" customFormat="false" ht="15" hidden="false" customHeight="false" outlineLevel="0" collapsed="false">
      <c r="D10" s="9" t="s">
        <v>97</v>
      </c>
      <c r="E10" s="10" t="n">
        <f aca="false">SUM(E5:E9)</f>
        <v>33</v>
      </c>
    </row>
    <row r="12" customFormat="false" ht="15" hidden="false" customHeight="false" outlineLevel="0" collapsed="false">
      <c r="A12" s="11" t="s">
        <v>98</v>
      </c>
      <c r="B12" s="11"/>
      <c r="C12" s="11"/>
      <c r="D12" s="11"/>
      <c r="E12" s="11"/>
      <c r="F12" s="11"/>
      <c r="G12" s="11"/>
    </row>
    <row r="13" customFormat="false" ht="39.75" hidden="false" customHeight="true" outlineLevel="0" collapsed="false">
      <c r="A13" s="12" t="s">
        <v>119</v>
      </c>
      <c r="B13" s="12"/>
      <c r="C13" s="12"/>
      <c r="D13" s="12"/>
      <c r="E13" s="12"/>
      <c r="F13" s="12"/>
      <c r="G13" s="12"/>
    </row>
    <row r="15" customFormat="false" ht="15" hidden="false" customHeight="false" outlineLevel="0" collapsed="false">
      <c r="A15" s="13" t="s">
        <v>100</v>
      </c>
      <c r="B15" s="13"/>
      <c r="C15" s="13"/>
      <c r="D15" s="13"/>
      <c r="E15" s="13"/>
      <c r="F15" s="13"/>
      <c r="G15" s="13"/>
    </row>
    <row r="16" customFormat="false" ht="60" hidden="false" customHeight="true" outlineLevel="0" collapsed="false">
      <c r="A16" s="12" t="s">
        <v>120</v>
      </c>
      <c r="B16" s="12"/>
      <c r="C16" s="12"/>
      <c r="D16" s="12"/>
      <c r="E16" s="12"/>
      <c r="F16" s="12"/>
      <c r="G16" s="12"/>
    </row>
  </sheetData>
  <mergeCells count="6">
    <mergeCell ref="A1:G1"/>
    <mergeCell ref="A2:G2"/>
    <mergeCell ref="A12:G12"/>
    <mergeCell ref="A13:G13"/>
    <mergeCell ref="A15:G15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121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122</v>
      </c>
      <c r="B2" s="2"/>
      <c r="C2" s="2"/>
      <c r="D2" s="2"/>
      <c r="E2" s="2"/>
      <c r="F2" s="2"/>
      <c r="G2" s="2"/>
    </row>
    <row r="4" customFormat="false" ht="26.85" hidden="false" customHeight="false" outlineLevel="0" collapsed="false">
      <c r="A4" s="6" t="s">
        <v>72</v>
      </c>
      <c r="B4" s="6" t="s">
        <v>73</v>
      </c>
      <c r="C4" s="6" t="s">
        <v>74</v>
      </c>
      <c r="D4" s="6" t="s">
        <v>75</v>
      </c>
      <c r="E4" s="6" t="s">
        <v>13</v>
      </c>
      <c r="F4" s="6" t="s">
        <v>20</v>
      </c>
      <c r="G4" s="6" t="s">
        <v>76</v>
      </c>
    </row>
    <row r="5" customFormat="false" ht="54.75" hidden="false" customHeight="true" outlineLevel="0" collapsed="false">
      <c r="A5" s="7" t="s">
        <v>77</v>
      </c>
      <c r="B5" s="7" t="s">
        <v>123</v>
      </c>
      <c r="C5" s="7" t="s">
        <v>124</v>
      </c>
      <c r="D5" s="7" t="s">
        <v>125</v>
      </c>
      <c r="E5" s="7" t="n">
        <v>6</v>
      </c>
      <c r="F5" s="7" t="s">
        <v>26</v>
      </c>
      <c r="G5" s="7"/>
    </row>
    <row r="6" customFormat="false" ht="54.75" hidden="false" customHeight="true" outlineLevel="0" collapsed="false">
      <c r="A6" s="7" t="s">
        <v>81</v>
      </c>
      <c r="B6" s="7" t="s">
        <v>126</v>
      </c>
      <c r="C6" s="7" t="s">
        <v>127</v>
      </c>
      <c r="D6" s="7" t="s">
        <v>128</v>
      </c>
      <c r="E6" s="7" t="n">
        <v>6</v>
      </c>
      <c r="F6" s="7" t="s">
        <v>26</v>
      </c>
      <c r="G6" s="7"/>
    </row>
    <row r="7" customFormat="false" ht="54.75" hidden="false" customHeight="true" outlineLevel="0" collapsed="false">
      <c r="A7" s="7" t="s">
        <v>85</v>
      </c>
      <c r="B7" s="7" t="s">
        <v>129</v>
      </c>
      <c r="C7" s="7" t="s">
        <v>130</v>
      </c>
      <c r="D7" s="7" t="s">
        <v>131</v>
      </c>
      <c r="E7" s="7" t="n">
        <v>7</v>
      </c>
      <c r="F7" s="7" t="s">
        <v>26</v>
      </c>
      <c r="G7" s="7"/>
    </row>
    <row r="8" customFormat="false" ht="54.75" hidden="false" customHeight="true" outlineLevel="0" collapsed="false">
      <c r="A8" s="7" t="s">
        <v>89</v>
      </c>
      <c r="B8" s="7" t="s">
        <v>132</v>
      </c>
      <c r="C8" s="7" t="s">
        <v>133</v>
      </c>
      <c r="D8" s="7" t="s">
        <v>134</v>
      </c>
      <c r="E8" s="7" t="n">
        <v>6</v>
      </c>
      <c r="F8" s="7" t="s">
        <v>26</v>
      </c>
      <c r="G8" s="7"/>
    </row>
    <row r="9" customFormat="false" ht="54.75" hidden="false" customHeight="true" outlineLevel="0" collapsed="false">
      <c r="A9" s="7" t="s">
        <v>93</v>
      </c>
      <c r="B9" s="7" t="s">
        <v>135</v>
      </c>
      <c r="C9" s="7" t="s">
        <v>136</v>
      </c>
      <c r="D9" s="7" t="s">
        <v>137</v>
      </c>
      <c r="E9" s="7" t="n">
        <v>7</v>
      </c>
      <c r="F9" s="7" t="s">
        <v>26</v>
      </c>
      <c r="G9" s="7"/>
    </row>
    <row r="10" customFormat="false" ht="15" hidden="false" customHeight="false" outlineLevel="0" collapsed="false">
      <c r="D10" s="9" t="s">
        <v>97</v>
      </c>
      <c r="E10" s="10" t="n">
        <f aca="false">SUM(E5:E9)</f>
        <v>32</v>
      </c>
    </row>
    <row r="12" customFormat="false" ht="15" hidden="false" customHeight="false" outlineLevel="0" collapsed="false">
      <c r="A12" s="11" t="s">
        <v>98</v>
      </c>
      <c r="B12" s="11"/>
      <c r="C12" s="11"/>
      <c r="D12" s="11"/>
      <c r="E12" s="11"/>
      <c r="F12" s="11"/>
      <c r="G12" s="11"/>
    </row>
    <row r="13" customFormat="false" ht="39.75" hidden="false" customHeight="true" outlineLevel="0" collapsed="false">
      <c r="A13" s="12" t="s">
        <v>138</v>
      </c>
      <c r="B13" s="12"/>
      <c r="C13" s="12"/>
      <c r="D13" s="12"/>
      <c r="E13" s="12"/>
      <c r="F13" s="12"/>
      <c r="G13" s="12"/>
    </row>
    <row r="15" customFormat="false" ht="15" hidden="false" customHeight="false" outlineLevel="0" collapsed="false">
      <c r="A15" s="13" t="s">
        <v>100</v>
      </c>
      <c r="B15" s="13"/>
      <c r="C15" s="13"/>
      <c r="D15" s="13"/>
      <c r="E15" s="13"/>
      <c r="F15" s="13"/>
      <c r="G15" s="13"/>
    </row>
    <row r="16" customFormat="false" ht="60" hidden="false" customHeight="true" outlineLevel="0" collapsed="false">
      <c r="A16" s="12" t="s">
        <v>139</v>
      </c>
      <c r="B16" s="12"/>
      <c r="C16" s="12"/>
      <c r="D16" s="12"/>
      <c r="E16" s="12"/>
      <c r="F16" s="12"/>
      <c r="G16" s="12"/>
    </row>
  </sheetData>
  <mergeCells count="6">
    <mergeCell ref="A1:G1"/>
    <mergeCell ref="A2:G2"/>
    <mergeCell ref="A12:G12"/>
    <mergeCell ref="A13:G13"/>
    <mergeCell ref="A15:G15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140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141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14" t="s">
        <v>142</v>
      </c>
      <c r="B3" s="14"/>
      <c r="C3" s="14"/>
      <c r="D3" s="14"/>
      <c r="E3" s="14"/>
      <c r="F3" s="14"/>
      <c r="G3" s="14"/>
    </row>
    <row r="5" customFormat="false" ht="26.85" hidden="false" customHeight="false" outlineLevel="0" collapsed="false">
      <c r="A5" s="6" t="s">
        <v>72</v>
      </c>
      <c r="B5" s="6" t="s">
        <v>73</v>
      </c>
      <c r="C5" s="6" t="s">
        <v>74</v>
      </c>
      <c r="D5" s="6" t="s">
        <v>75</v>
      </c>
      <c r="E5" s="6" t="s">
        <v>13</v>
      </c>
      <c r="F5" s="6" t="s">
        <v>20</v>
      </c>
      <c r="G5" s="6" t="s">
        <v>76</v>
      </c>
    </row>
    <row r="6" customFormat="false" ht="54.75" hidden="false" customHeight="true" outlineLevel="0" collapsed="false">
      <c r="A6" s="7" t="s">
        <v>77</v>
      </c>
      <c r="B6" s="7" t="s">
        <v>143</v>
      </c>
      <c r="C6" s="7" t="s">
        <v>144</v>
      </c>
      <c r="D6" s="7" t="s">
        <v>145</v>
      </c>
      <c r="E6" s="7" t="n">
        <v>6</v>
      </c>
      <c r="F6" s="7" t="s">
        <v>26</v>
      </c>
      <c r="G6" s="7"/>
    </row>
    <row r="7" customFormat="false" ht="54.75" hidden="false" customHeight="true" outlineLevel="0" collapsed="false">
      <c r="A7" s="7" t="s">
        <v>81</v>
      </c>
      <c r="B7" s="7" t="s">
        <v>146</v>
      </c>
      <c r="C7" s="7" t="s">
        <v>147</v>
      </c>
      <c r="D7" s="7" t="s">
        <v>148</v>
      </c>
      <c r="E7" s="7" t="n">
        <v>7</v>
      </c>
      <c r="F7" s="7" t="s">
        <v>26</v>
      </c>
      <c r="G7" s="7"/>
    </row>
    <row r="8" customFormat="false" ht="54.75" hidden="false" customHeight="true" outlineLevel="0" collapsed="false">
      <c r="A8" s="7" t="s">
        <v>85</v>
      </c>
      <c r="B8" s="7" t="s">
        <v>149</v>
      </c>
      <c r="C8" s="7" t="s">
        <v>150</v>
      </c>
      <c r="D8" s="7" t="s">
        <v>151</v>
      </c>
      <c r="E8" s="7" t="n">
        <v>7</v>
      </c>
      <c r="F8" s="7" t="s">
        <v>26</v>
      </c>
      <c r="G8" s="7"/>
    </row>
    <row r="9" customFormat="false" ht="54.75" hidden="false" customHeight="true" outlineLevel="0" collapsed="false">
      <c r="A9" s="7" t="s">
        <v>89</v>
      </c>
      <c r="B9" s="7" t="s">
        <v>152</v>
      </c>
      <c r="C9" s="7" t="s">
        <v>153</v>
      </c>
      <c r="D9" s="7" t="s">
        <v>154</v>
      </c>
      <c r="E9" s="7" t="n">
        <v>7</v>
      </c>
      <c r="F9" s="7" t="s">
        <v>26</v>
      </c>
      <c r="G9" s="7"/>
    </row>
    <row r="10" customFormat="false" ht="54.75" hidden="false" customHeight="true" outlineLevel="0" collapsed="false">
      <c r="A10" s="7" t="s">
        <v>93</v>
      </c>
      <c r="B10" s="7" t="s">
        <v>155</v>
      </c>
      <c r="C10" s="7" t="s">
        <v>156</v>
      </c>
      <c r="D10" s="7" t="s">
        <v>157</v>
      </c>
      <c r="E10" s="7" t="n">
        <v>8</v>
      </c>
      <c r="F10" s="7" t="s">
        <v>26</v>
      </c>
      <c r="G10" s="7"/>
    </row>
    <row r="11" customFormat="false" ht="15" hidden="false" customHeight="false" outlineLevel="0" collapsed="false">
      <c r="D11" s="9" t="s">
        <v>97</v>
      </c>
      <c r="E11" s="10" t="n">
        <f aca="false">SUM(E6:E10)</f>
        <v>35</v>
      </c>
    </row>
    <row r="13" customFormat="false" ht="15" hidden="false" customHeight="false" outlineLevel="0" collapsed="false">
      <c r="A13" s="11" t="s">
        <v>98</v>
      </c>
      <c r="B13" s="11"/>
      <c r="C13" s="11"/>
      <c r="D13" s="11"/>
      <c r="E13" s="11"/>
      <c r="F13" s="11"/>
      <c r="G13" s="11"/>
    </row>
    <row r="14" customFormat="false" ht="39.75" hidden="false" customHeight="true" outlineLevel="0" collapsed="false">
      <c r="A14" s="12" t="s">
        <v>158</v>
      </c>
      <c r="B14" s="12"/>
      <c r="C14" s="12"/>
      <c r="D14" s="12"/>
      <c r="E14" s="12"/>
      <c r="F14" s="12"/>
      <c r="G14" s="12"/>
    </row>
    <row r="16" customFormat="false" ht="15" hidden="false" customHeight="false" outlineLevel="0" collapsed="false">
      <c r="A16" s="13" t="s">
        <v>100</v>
      </c>
      <c r="B16" s="13"/>
      <c r="C16" s="13"/>
      <c r="D16" s="13"/>
      <c r="E16" s="13"/>
      <c r="F16" s="13"/>
      <c r="G16" s="13"/>
    </row>
    <row r="17" customFormat="false" ht="60" hidden="false" customHeight="true" outlineLevel="0" collapsed="false">
      <c r="A17" s="12" t="s">
        <v>159</v>
      </c>
      <c r="B17" s="12"/>
      <c r="C17" s="12"/>
      <c r="D17" s="12"/>
      <c r="E17" s="12"/>
      <c r="F17" s="12"/>
      <c r="G17" s="12"/>
    </row>
  </sheetData>
  <mergeCells count="7">
    <mergeCell ref="A1:G1"/>
    <mergeCell ref="A2:G2"/>
    <mergeCell ref="A3:G3"/>
    <mergeCell ref="A13:G13"/>
    <mergeCell ref="A14:G14"/>
    <mergeCell ref="A16:G16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161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14" t="s">
        <v>142</v>
      </c>
      <c r="B3" s="14"/>
      <c r="C3" s="14"/>
      <c r="D3" s="14"/>
      <c r="E3" s="14"/>
      <c r="F3" s="14"/>
      <c r="G3" s="14"/>
    </row>
    <row r="5" customFormat="false" ht="26.85" hidden="false" customHeight="false" outlineLevel="0" collapsed="false">
      <c r="A5" s="6" t="s">
        <v>72</v>
      </c>
      <c r="B5" s="6" t="s">
        <v>73</v>
      </c>
      <c r="C5" s="6" t="s">
        <v>74</v>
      </c>
      <c r="D5" s="6" t="s">
        <v>75</v>
      </c>
      <c r="E5" s="6" t="s">
        <v>13</v>
      </c>
      <c r="F5" s="6" t="s">
        <v>20</v>
      </c>
      <c r="G5" s="6" t="s">
        <v>76</v>
      </c>
    </row>
    <row r="6" customFormat="false" ht="54.75" hidden="false" customHeight="true" outlineLevel="0" collapsed="false">
      <c r="A6" s="7" t="s">
        <v>77</v>
      </c>
      <c r="B6" s="7" t="s">
        <v>162</v>
      </c>
      <c r="C6" s="7" t="s">
        <v>163</v>
      </c>
      <c r="D6" s="7" t="s">
        <v>164</v>
      </c>
      <c r="E6" s="7" t="n">
        <v>4</v>
      </c>
      <c r="F6" s="7" t="s">
        <v>26</v>
      </c>
      <c r="G6" s="7"/>
    </row>
    <row r="7" customFormat="false" ht="54.75" hidden="false" customHeight="true" outlineLevel="0" collapsed="false">
      <c r="A7" s="7" t="s">
        <v>81</v>
      </c>
      <c r="B7" s="7" t="s">
        <v>165</v>
      </c>
      <c r="C7" s="7" t="s">
        <v>166</v>
      </c>
      <c r="D7" s="7" t="s">
        <v>167</v>
      </c>
      <c r="E7" s="7" t="n">
        <v>7</v>
      </c>
      <c r="F7" s="7" t="s">
        <v>26</v>
      </c>
      <c r="G7" s="7"/>
    </row>
    <row r="8" customFormat="false" ht="54.75" hidden="false" customHeight="true" outlineLevel="0" collapsed="false">
      <c r="A8" s="7" t="s">
        <v>85</v>
      </c>
      <c r="B8" s="7" t="s">
        <v>168</v>
      </c>
      <c r="C8" s="7" t="s">
        <v>169</v>
      </c>
      <c r="D8" s="7" t="s">
        <v>170</v>
      </c>
      <c r="E8" s="7" t="n">
        <v>7</v>
      </c>
      <c r="F8" s="7" t="s">
        <v>26</v>
      </c>
      <c r="G8" s="7"/>
    </row>
    <row r="9" customFormat="false" ht="54.75" hidden="false" customHeight="true" outlineLevel="0" collapsed="false">
      <c r="A9" s="7" t="s">
        <v>89</v>
      </c>
      <c r="B9" s="7" t="s">
        <v>171</v>
      </c>
      <c r="C9" s="7" t="s">
        <v>172</v>
      </c>
      <c r="D9" s="7" t="s">
        <v>173</v>
      </c>
      <c r="E9" s="7" t="n">
        <v>7</v>
      </c>
      <c r="F9" s="7" t="s">
        <v>26</v>
      </c>
      <c r="G9" s="7"/>
    </row>
    <row r="10" customFormat="false" ht="54.75" hidden="false" customHeight="true" outlineLevel="0" collapsed="false">
      <c r="A10" s="7" t="s">
        <v>93</v>
      </c>
      <c r="B10" s="7" t="s">
        <v>174</v>
      </c>
      <c r="C10" s="7" t="s">
        <v>175</v>
      </c>
      <c r="D10" s="7" t="s">
        <v>176</v>
      </c>
      <c r="E10" s="7" t="n">
        <v>6</v>
      </c>
      <c r="F10" s="7" t="s">
        <v>26</v>
      </c>
      <c r="G10" s="7"/>
    </row>
    <row r="11" customFormat="false" ht="15" hidden="false" customHeight="false" outlineLevel="0" collapsed="false">
      <c r="D11" s="9" t="s">
        <v>97</v>
      </c>
      <c r="E11" s="10" t="n">
        <f aca="false">SUM(E6:E10)</f>
        <v>31</v>
      </c>
    </row>
    <row r="13" customFormat="false" ht="15" hidden="false" customHeight="false" outlineLevel="0" collapsed="false">
      <c r="A13" s="11" t="s">
        <v>98</v>
      </c>
      <c r="B13" s="11"/>
      <c r="C13" s="11"/>
      <c r="D13" s="11"/>
      <c r="E13" s="11"/>
      <c r="F13" s="11"/>
      <c r="G13" s="11"/>
    </row>
    <row r="14" customFormat="false" ht="39.75" hidden="false" customHeight="true" outlineLevel="0" collapsed="false">
      <c r="A14" s="12" t="s">
        <v>177</v>
      </c>
      <c r="B14" s="12"/>
      <c r="C14" s="12"/>
      <c r="D14" s="12"/>
      <c r="E14" s="12"/>
      <c r="F14" s="12"/>
      <c r="G14" s="12"/>
    </row>
    <row r="16" customFormat="false" ht="15" hidden="false" customHeight="false" outlineLevel="0" collapsed="false">
      <c r="A16" s="13" t="s">
        <v>100</v>
      </c>
      <c r="B16" s="13"/>
      <c r="C16" s="13"/>
      <c r="D16" s="13"/>
      <c r="E16" s="13"/>
      <c r="F16" s="13"/>
      <c r="G16" s="13"/>
    </row>
    <row r="17" customFormat="false" ht="60" hidden="false" customHeight="true" outlineLevel="0" collapsed="false">
      <c r="A17" s="12" t="s">
        <v>178</v>
      </c>
      <c r="B17" s="12"/>
      <c r="C17" s="12"/>
      <c r="D17" s="12"/>
      <c r="E17" s="12"/>
      <c r="F17" s="12"/>
      <c r="G17" s="12"/>
    </row>
  </sheetData>
  <mergeCells count="7">
    <mergeCell ref="A1:G1"/>
    <mergeCell ref="A2:G2"/>
    <mergeCell ref="A3:G3"/>
    <mergeCell ref="A13:G13"/>
    <mergeCell ref="A14:G14"/>
    <mergeCell ref="A16:G16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179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180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14" t="s">
        <v>142</v>
      </c>
      <c r="B3" s="14"/>
      <c r="C3" s="14"/>
      <c r="D3" s="14"/>
      <c r="E3" s="14"/>
      <c r="F3" s="14"/>
      <c r="G3" s="14"/>
    </row>
    <row r="5" customFormat="false" ht="26.85" hidden="false" customHeight="false" outlineLevel="0" collapsed="false">
      <c r="A5" s="6" t="s">
        <v>72</v>
      </c>
      <c r="B5" s="6" t="s">
        <v>73</v>
      </c>
      <c r="C5" s="6" t="s">
        <v>74</v>
      </c>
      <c r="D5" s="6" t="s">
        <v>75</v>
      </c>
      <c r="E5" s="6" t="s">
        <v>13</v>
      </c>
      <c r="F5" s="6" t="s">
        <v>20</v>
      </c>
      <c r="G5" s="6" t="s">
        <v>76</v>
      </c>
    </row>
    <row r="6" customFormat="false" ht="54.75" hidden="false" customHeight="true" outlineLevel="0" collapsed="false">
      <c r="A6" s="7" t="s">
        <v>77</v>
      </c>
      <c r="B6" s="7" t="s">
        <v>181</v>
      </c>
      <c r="C6" s="7" t="s">
        <v>182</v>
      </c>
      <c r="D6" s="7" t="s">
        <v>183</v>
      </c>
      <c r="E6" s="7" t="n">
        <v>6</v>
      </c>
      <c r="F6" s="7" t="s">
        <v>26</v>
      </c>
      <c r="G6" s="7"/>
    </row>
    <row r="7" customFormat="false" ht="54.75" hidden="false" customHeight="true" outlineLevel="0" collapsed="false">
      <c r="A7" s="7" t="s">
        <v>81</v>
      </c>
      <c r="B7" s="7" t="s">
        <v>184</v>
      </c>
      <c r="C7" s="7" t="s">
        <v>185</v>
      </c>
      <c r="D7" s="7" t="s">
        <v>186</v>
      </c>
      <c r="E7" s="7" t="n">
        <v>7</v>
      </c>
      <c r="F7" s="7" t="s">
        <v>26</v>
      </c>
      <c r="G7" s="7"/>
    </row>
    <row r="8" customFormat="false" ht="54.75" hidden="false" customHeight="true" outlineLevel="0" collapsed="false">
      <c r="A8" s="7" t="s">
        <v>85</v>
      </c>
      <c r="B8" s="7" t="s">
        <v>187</v>
      </c>
      <c r="C8" s="7" t="s">
        <v>188</v>
      </c>
      <c r="D8" s="7" t="s">
        <v>189</v>
      </c>
      <c r="E8" s="7" t="n">
        <v>7</v>
      </c>
      <c r="F8" s="7" t="s">
        <v>26</v>
      </c>
      <c r="G8" s="7"/>
    </row>
    <row r="9" customFormat="false" ht="54.75" hidden="false" customHeight="true" outlineLevel="0" collapsed="false">
      <c r="A9" s="7" t="s">
        <v>89</v>
      </c>
      <c r="B9" s="7" t="s">
        <v>190</v>
      </c>
      <c r="C9" s="7" t="s">
        <v>191</v>
      </c>
      <c r="D9" s="7" t="s">
        <v>192</v>
      </c>
      <c r="E9" s="7" t="n">
        <v>6</v>
      </c>
      <c r="F9" s="7" t="s">
        <v>26</v>
      </c>
      <c r="G9" s="7"/>
    </row>
    <row r="10" customFormat="false" ht="54.75" hidden="false" customHeight="true" outlineLevel="0" collapsed="false">
      <c r="A10" s="7" t="s">
        <v>93</v>
      </c>
      <c r="B10" s="7" t="s">
        <v>193</v>
      </c>
      <c r="C10" s="7" t="s">
        <v>194</v>
      </c>
      <c r="D10" s="7" t="s">
        <v>195</v>
      </c>
      <c r="E10" s="7" t="n">
        <v>7</v>
      </c>
      <c r="F10" s="7" t="s">
        <v>26</v>
      </c>
      <c r="G10" s="7"/>
    </row>
    <row r="11" customFormat="false" ht="15" hidden="false" customHeight="false" outlineLevel="0" collapsed="false">
      <c r="D11" s="9" t="s">
        <v>97</v>
      </c>
      <c r="E11" s="10" t="n">
        <f aca="false">SUM(E6:E10)</f>
        <v>33</v>
      </c>
    </row>
    <row r="13" customFormat="false" ht="15" hidden="false" customHeight="false" outlineLevel="0" collapsed="false">
      <c r="A13" s="11" t="s">
        <v>98</v>
      </c>
      <c r="B13" s="11"/>
      <c r="C13" s="11"/>
      <c r="D13" s="11"/>
      <c r="E13" s="11"/>
      <c r="F13" s="11"/>
      <c r="G13" s="11"/>
    </row>
    <row r="14" customFormat="false" ht="39.75" hidden="false" customHeight="true" outlineLevel="0" collapsed="false">
      <c r="A14" s="12" t="s">
        <v>196</v>
      </c>
      <c r="B14" s="12"/>
      <c r="C14" s="12"/>
      <c r="D14" s="12"/>
      <c r="E14" s="12"/>
      <c r="F14" s="12"/>
      <c r="G14" s="12"/>
    </row>
    <row r="16" customFormat="false" ht="15" hidden="false" customHeight="false" outlineLevel="0" collapsed="false">
      <c r="A16" s="13" t="s">
        <v>100</v>
      </c>
      <c r="B16" s="13"/>
      <c r="C16" s="13"/>
      <c r="D16" s="13"/>
      <c r="E16" s="13"/>
      <c r="F16" s="13"/>
      <c r="G16" s="13"/>
    </row>
    <row r="17" customFormat="false" ht="60" hidden="false" customHeight="true" outlineLevel="0" collapsed="false">
      <c r="A17" s="12" t="s">
        <v>197</v>
      </c>
      <c r="B17" s="12"/>
      <c r="C17" s="12"/>
      <c r="D17" s="12"/>
      <c r="E17" s="12"/>
      <c r="F17" s="12"/>
      <c r="G17" s="12"/>
    </row>
  </sheetData>
  <mergeCells count="7">
    <mergeCell ref="A1:G1"/>
    <mergeCell ref="A2:G2"/>
    <mergeCell ref="A3:G3"/>
    <mergeCell ref="A13:G13"/>
    <mergeCell ref="A14:G14"/>
    <mergeCell ref="A16:G16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8" min="7" style="0" width="14"/>
  </cols>
  <sheetData>
    <row r="1" customFormat="false" ht="19.7" hidden="false" customHeight="false" outlineLevel="0" collapsed="false">
      <c r="A1" s="1" t="s">
        <v>198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199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6" t="s">
        <v>200</v>
      </c>
      <c r="B4" s="6" t="s">
        <v>16</v>
      </c>
      <c r="C4" s="6" t="s">
        <v>72</v>
      </c>
      <c r="D4" s="6" t="s">
        <v>201</v>
      </c>
      <c r="E4" s="6" t="s">
        <v>202</v>
      </c>
      <c r="F4" s="6" t="s">
        <v>203</v>
      </c>
      <c r="G4" s="6" t="s">
        <v>204</v>
      </c>
      <c r="H4" s="6" t="s">
        <v>205</v>
      </c>
    </row>
    <row r="5" customFormat="false" ht="15" hidden="false" customHeight="false" outlineLevel="0" collapsed="false">
      <c r="A5" s="15"/>
      <c r="B5" s="15" t="s">
        <v>22</v>
      </c>
      <c r="C5" s="15" t="s">
        <v>77</v>
      </c>
      <c r="D5" s="15"/>
      <c r="E5" s="15"/>
      <c r="F5" s="15" t="n">
        <f aca="false">IFERROR(E5-D5,"-")</f>
        <v>0</v>
      </c>
      <c r="G5" s="15"/>
      <c r="H5" s="15"/>
    </row>
    <row r="6" customFormat="false" ht="15" hidden="false" customHeight="false" outlineLevel="0" collapsed="false">
      <c r="A6" s="15"/>
      <c r="B6" s="15" t="s">
        <v>22</v>
      </c>
      <c r="C6" s="15" t="s">
        <v>81</v>
      </c>
      <c r="D6" s="15"/>
      <c r="E6" s="15"/>
      <c r="F6" s="15" t="n">
        <f aca="false">IFERROR(E6-D6,"-")</f>
        <v>0</v>
      </c>
      <c r="G6" s="15"/>
      <c r="H6" s="15"/>
    </row>
    <row r="7" customFormat="false" ht="15" hidden="false" customHeight="false" outlineLevel="0" collapsed="false">
      <c r="A7" s="15"/>
      <c r="B7" s="15" t="s">
        <v>22</v>
      </c>
      <c r="C7" s="15" t="s">
        <v>85</v>
      </c>
      <c r="D7" s="15"/>
      <c r="E7" s="15"/>
      <c r="F7" s="15" t="n">
        <f aca="false">IFERROR(E7-D7,"-")</f>
        <v>0</v>
      </c>
      <c r="G7" s="15"/>
      <c r="H7" s="15"/>
    </row>
    <row r="8" customFormat="false" ht="15" hidden="false" customHeight="false" outlineLevel="0" collapsed="false">
      <c r="A8" s="15"/>
      <c r="B8" s="15" t="s">
        <v>22</v>
      </c>
      <c r="C8" s="15" t="s">
        <v>89</v>
      </c>
      <c r="D8" s="15"/>
      <c r="E8" s="15"/>
      <c r="F8" s="15" t="n">
        <f aca="false">IFERROR(E8-D8,"-")</f>
        <v>0</v>
      </c>
      <c r="G8" s="15"/>
      <c r="H8" s="15"/>
    </row>
    <row r="9" customFormat="false" ht="15" hidden="false" customHeight="false" outlineLevel="0" collapsed="false">
      <c r="A9" s="15"/>
      <c r="B9" s="15" t="s">
        <v>22</v>
      </c>
      <c r="C9" s="15" t="s">
        <v>93</v>
      </c>
      <c r="D9" s="15"/>
      <c r="E9" s="15"/>
      <c r="F9" s="15" t="n">
        <f aca="false">IFERROR(E9-D9,"-")</f>
        <v>0</v>
      </c>
      <c r="G9" s="15"/>
      <c r="H9" s="15"/>
    </row>
    <row r="10" customFormat="false" ht="15" hidden="false" customHeight="false" outlineLevel="0" collapsed="false">
      <c r="A10" s="15"/>
      <c r="B10" s="15" t="s">
        <v>28</v>
      </c>
      <c r="C10" s="15" t="s">
        <v>77</v>
      </c>
      <c r="D10" s="15"/>
      <c r="E10" s="15"/>
      <c r="F10" s="15" t="n">
        <f aca="false">IFERROR(E10-D10,"-")</f>
        <v>0</v>
      </c>
      <c r="G10" s="15"/>
      <c r="H10" s="15"/>
    </row>
    <row r="11" customFormat="false" ht="15" hidden="false" customHeight="false" outlineLevel="0" collapsed="false">
      <c r="A11" s="15"/>
      <c r="B11" s="15" t="s">
        <v>28</v>
      </c>
      <c r="C11" s="15" t="s">
        <v>81</v>
      </c>
      <c r="D11" s="15"/>
      <c r="E11" s="15"/>
      <c r="F11" s="15" t="n">
        <f aca="false">IFERROR(E11-D11,"-")</f>
        <v>0</v>
      </c>
      <c r="G11" s="15"/>
      <c r="H11" s="15"/>
    </row>
    <row r="12" customFormat="false" ht="15" hidden="false" customHeight="false" outlineLevel="0" collapsed="false">
      <c r="A12" s="15"/>
      <c r="B12" s="15" t="s">
        <v>28</v>
      </c>
      <c r="C12" s="15" t="s">
        <v>85</v>
      </c>
      <c r="D12" s="15"/>
      <c r="E12" s="15"/>
      <c r="F12" s="15" t="n">
        <f aca="false">IFERROR(E12-D12,"-")</f>
        <v>0</v>
      </c>
      <c r="G12" s="15"/>
      <c r="H12" s="15"/>
    </row>
    <row r="13" customFormat="false" ht="15" hidden="false" customHeight="false" outlineLevel="0" collapsed="false">
      <c r="A13" s="15"/>
      <c r="B13" s="15" t="s">
        <v>28</v>
      </c>
      <c r="C13" s="15" t="s">
        <v>89</v>
      </c>
      <c r="D13" s="15"/>
      <c r="E13" s="15"/>
      <c r="F13" s="15" t="n">
        <f aca="false">IFERROR(E13-D13,"-")</f>
        <v>0</v>
      </c>
      <c r="G13" s="15"/>
      <c r="H13" s="15"/>
    </row>
    <row r="14" customFormat="false" ht="15" hidden="false" customHeight="false" outlineLevel="0" collapsed="false">
      <c r="A14" s="15"/>
      <c r="B14" s="15" t="s">
        <v>28</v>
      </c>
      <c r="C14" s="15" t="s">
        <v>93</v>
      </c>
      <c r="D14" s="15"/>
      <c r="E14" s="15"/>
      <c r="F14" s="15" t="n">
        <f aca="false">IFERROR(E14-D14,"-")</f>
        <v>0</v>
      </c>
      <c r="G14" s="15"/>
      <c r="H14" s="15"/>
    </row>
    <row r="15" customFormat="false" ht="15" hidden="false" customHeight="false" outlineLevel="0" collapsed="false">
      <c r="A15" s="15"/>
      <c r="B15" s="15" t="s">
        <v>32</v>
      </c>
      <c r="C15" s="15" t="s">
        <v>77</v>
      </c>
      <c r="D15" s="15"/>
      <c r="E15" s="15"/>
      <c r="F15" s="15" t="n">
        <f aca="false">IFERROR(E15-D15,"-")</f>
        <v>0</v>
      </c>
      <c r="G15" s="15"/>
      <c r="H15" s="15"/>
    </row>
    <row r="16" customFormat="false" ht="15" hidden="false" customHeight="false" outlineLevel="0" collapsed="false">
      <c r="A16" s="15"/>
      <c r="B16" s="15" t="s">
        <v>32</v>
      </c>
      <c r="C16" s="15" t="s">
        <v>81</v>
      </c>
      <c r="D16" s="15"/>
      <c r="E16" s="15"/>
      <c r="F16" s="15" t="n">
        <f aca="false">IFERROR(E16-D16,"-")</f>
        <v>0</v>
      </c>
      <c r="G16" s="15"/>
      <c r="H16" s="15"/>
    </row>
    <row r="17" customFormat="false" ht="15" hidden="false" customHeight="false" outlineLevel="0" collapsed="false">
      <c r="A17" s="15"/>
      <c r="B17" s="15" t="s">
        <v>32</v>
      </c>
      <c r="C17" s="15" t="s">
        <v>85</v>
      </c>
      <c r="D17" s="15"/>
      <c r="E17" s="15"/>
      <c r="F17" s="15" t="n">
        <f aca="false">IFERROR(E17-D17,"-")</f>
        <v>0</v>
      </c>
      <c r="G17" s="15"/>
      <c r="H17" s="15"/>
    </row>
    <row r="18" customFormat="false" ht="15" hidden="false" customHeight="false" outlineLevel="0" collapsed="false">
      <c r="A18" s="15"/>
      <c r="B18" s="15" t="s">
        <v>32</v>
      </c>
      <c r="C18" s="15" t="s">
        <v>89</v>
      </c>
      <c r="D18" s="15"/>
      <c r="E18" s="15"/>
      <c r="F18" s="15" t="n">
        <f aca="false">IFERROR(E18-D18,"-")</f>
        <v>0</v>
      </c>
      <c r="G18" s="15"/>
      <c r="H18" s="15"/>
    </row>
    <row r="19" customFormat="false" ht="15" hidden="false" customHeight="false" outlineLevel="0" collapsed="false">
      <c r="A19" s="15"/>
      <c r="B19" s="15" t="s">
        <v>32</v>
      </c>
      <c r="C19" s="15" t="s">
        <v>93</v>
      </c>
      <c r="D19" s="15"/>
      <c r="E19" s="15"/>
      <c r="F19" s="15" t="n">
        <f aca="false">IFERROR(E19-D19,"-")</f>
        <v>0</v>
      </c>
      <c r="G19" s="15"/>
      <c r="H19" s="15"/>
    </row>
    <row r="20" customFormat="false" ht="15" hidden="false" customHeight="false" outlineLevel="0" collapsed="false">
      <c r="A20" s="15"/>
      <c r="B20" s="15" t="s">
        <v>36</v>
      </c>
      <c r="C20" s="15" t="s">
        <v>77</v>
      </c>
      <c r="D20" s="15"/>
      <c r="E20" s="15"/>
      <c r="F20" s="15" t="n">
        <f aca="false">IFERROR(E20-D20,"-")</f>
        <v>0</v>
      </c>
      <c r="G20" s="15"/>
      <c r="H20" s="15"/>
    </row>
    <row r="21" customFormat="false" ht="15" hidden="false" customHeight="false" outlineLevel="0" collapsed="false">
      <c r="A21" s="15"/>
      <c r="B21" s="15" t="s">
        <v>36</v>
      </c>
      <c r="C21" s="15" t="s">
        <v>81</v>
      </c>
      <c r="D21" s="15"/>
      <c r="E21" s="15"/>
      <c r="F21" s="15" t="n">
        <f aca="false">IFERROR(E21-D21,"-")</f>
        <v>0</v>
      </c>
      <c r="G21" s="15"/>
      <c r="H21" s="15"/>
    </row>
    <row r="22" customFormat="false" ht="15" hidden="false" customHeight="false" outlineLevel="0" collapsed="false">
      <c r="A22" s="15"/>
      <c r="B22" s="15" t="s">
        <v>36</v>
      </c>
      <c r="C22" s="15" t="s">
        <v>85</v>
      </c>
      <c r="D22" s="15"/>
      <c r="E22" s="15"/>
      <c r="F22" s="15" t="n">
        <f aca="false">IFERROR(E22-D22,"-")</f>
        <v>0</v>
      </c>
      <c r="G22" s="15"/>
      <c r="H22" s="15"/>
    </row>
    <row r="23" customFormat="false" ht="15" hidden="false" customHeight="false" outlineLevel="0" collapsed="false">
      <c r="A23" s="15"/>
      <c r="B23" s="15" t="s">
        <v>36</v>
      </c>
      <c r="C23" s="15" t="s">
        <v>89</v>
      </c>
      <c r="D23" s="15"/>
      <c r="E23" s="15"/>
      <c r="F23" s="15" t="n">
        <f aca="false">IFERROR(E23-D23,"-")</f>
        <v>0</v>
      </c>
      <c r="G23" s="15"/>
      <c r="H23" s="15"/>
    </row>
    <row r="24" customFormat="false" ht="15" hidden="false" customHeight="false" outlineLevel="0" collapsed="false">
      <c r="A24" s="15"/>
      <c r="B24" s="15" t="s">
        <v>36</v>
      </c>
      <c r="C24" s="15" t="s">
        <v>93</v>
      </c>
      <c r="D24" s="15"/>
      <c r="E24" s="15"/>
      <c r="F24" s="15" t="n">
        <f aca="false">IFERROR(E24-D24,"-")</f>
        <v>0</v>
      </c>
      <c r="G24" s="15"/>
      <c r="H24" s="15"/>
    </row>
    <row r="25" customFormat="false" ht="15" hidden="false" customHeight="false" outlineLevel="0" collapsed="false">
      <c r="A25" s="15"/>
      <c r="B25" s="15" t="s">
        <v>41</v>
      </c>
      <c r="C25" s="15" t="s">
        <v>77</v>
      </c>
      <c r="D25" s="15"/>
      <c r="E25" s="15"/>
      <c r="F25" s="15" t="n">
        <f aca="false">IFERROR(E25-D25,"-")</f>
        <v>0</v>
      </c>
      <c r="G25" s="15"/>
      <c r="H25" s="15"/>
    </row>
    <row r="26" customFormat="false" ht="15" hidden="false" customHeight="false" outlineLevel="0" collapsed="false">
      <c r="A26" s="15"/>
      <c r="B26" s="15" t="s">
        <v>41</v>
      </c>
      <c r="C26" s="15" t="s">
        <v>81</v>
      </c>
      <c r="D26" s="15"/>
      <c r="E26" s="15"/>
      <c r="F26" s="15" t="n">
        <f aca="false">IFERROR(E26-D26,"-")</f>
        <v>0</v>
      </c>
      <c r="G26" s="15"/>
      <c r="H26" s="15"/>
    </row>
    <row r="27" customFormat="false" ht="15" hidden="false" customHeight="false" outlineLevel="0" collapsed="false">
      <c r="A27" s="15"/>
      <c r="B27" s="15" t="s">
        <v>41</v>
      </c>
      <c r="C27" s="15" t="s">
        <v>85</v>
      </c>
      <c r="D27" s="15"/>
      <c r="E27" s="15"/>
      <c r="F27" s="15" t="n">
        <f aca="false">IFERROR(E27-D27,"-")</f>
        <v>0</v>
      </c>
      <c r="G27" s="15"/>
      <c r="H27" s="15"/>
    </row>
    <row r="28" customFormat="false" ht="15" hidden="false" customHeight="false" outlineLevel="0" collapsed="false">
      <c r="A28" s="15"/>
      <c r="B28" s="15" t="s">
        <v>41</v>
      </c>
      <c r="C28" s="15" t="s">
        <v>89</v>
      </c>
      <c r="D28" s="15"/>
      <c r="E28" s="15"/>
      <c r="F28" s="15" t="n">
        <f aca="false">IFERROR(E28-D28,"-")</f>
        <v>0</v>
      </c>
      <c r="G28" s="15"/>
      <c r="H28" s="15"/>
    </row>
    <row r="29" customFormat="false" ht="15" hidden="false" customHeight="false" outlineLevel="0" collapsed="false">
      <c r="A29" s="15"/>
      <c r="B29" s="15" t="s">
        <v>41</v>
      </c>
      <c r="C29" s="15" t="s">
        <v>93</v>
      </c>
      <c r="D29" s="15"/>
      <c r="E29" s="15"/>
      <c r="F29" s="15" t="n">
        <f aca="false">IFERROR(E29-D29,"-")</f>
        <v>0</v>
      </c>
      <c r="G29" s="15"/>
      <c r="H29" s="15"/>
    </row>
    <row r="30" customFormat="false" ht="15" hidden="false" customHeight="false" outlineLevel="0" collapsed="false">
      <c r="A30" s="15"/>
      <c r="B30" s="15" t="s">
        <v>45</v>
      </c>
      <c r="C30" s="15" t="s">
        <v>77</v>
      </c>
      <c r="D30" s="15"/>
      <c r="E30" s="15"/>
      <c r="F30" s="15" t="n">
        <f aca="false">IFERROR(E30-D30,"-")</f>
        <v>0</v>
      </c>
      <c r="G30" s="15"/>
      <c r="H30" s="15"/>
    </row>
    <row r="31" customFormat="false" ht="15" hidden="false" customHeight="false" outlineLevel="0" collapsed="false">
      <c r="A31" s="15"/>
      <c r="B31" s="15" t="s">
        <v>45</v>
      </c>
      <c r="C31" s="15" t="s">
        <v>81</v>
      </c>
      <c r="D31" s="15"/>
      <c r="E31" s="15"/>
      <c r="F31" s="15" t="n">
        <f aca="false">IFERROR(E31-D31,"-")</f>
        <v>0</v>
      </c>
      <c r="G31" s="15"/>
      <c r="H31" s="15"/>
    </row>
    <row r="32" customFormat="false" ht="15" hidden="false" customHeight="false" outlineLevel="0" collapsed="false">
      <c r="A32" s="15"/>
      <c r="B32" s="15" t="s">
        <v>45</v>
      </c>
      <c r="C32" s="15" t="s">
        <v>85</v>
      </c>
      <c r="D32" s="15"/>
      <c r="E32" s="15"/>
      <c r="F32" s="15" t="n">
        <f aca="false">IFERROR(E32-D32,"-")</f>
        <v>0</v>
      </c>
      <c r="G32" s="15"/>
      <c r="H32" s="15"/>
    </row>
    <row r="33" customFormat="false" ht="15" hidden="false" customHeight="false" outlineLevel="0" collapsed="false">
      <c r="A33" s="15"/>
      <c r="B33" s="15" t="s">
        <v>45</v>
      </c>
      <c r="C33" s="15" t="s">
        <v>89</v>
      </c>
      <c r="D33" s="15"/>
      <c r="E33" s="15"/>
      <c r="F33" s="15" t="n">
        <f aca="false">IFERROR(E33-D33,"-")</f>
        <v>0</v>
      </c>
      <c r="G33" s="15"/>
      <c r="H33" s="15"/>
    </row>
    <row r="34" customFormat="false" ht="15" hidden="false" customHeight="false" outlineLevel="0" collapsed="false">
      <c r="A34" s="15"/>
      <c r="B34" s="15" t="s">
        <v>45</v>
      </c>
      <c r="C34" s="15" t="s">
        <v>93</v>
      </c>
      <c r="D34" s="15"/>
      <c r="E34" s="15"/>
      <c r="F34" s="15" t="n">
        <f aca="false">IFERROR(E34-D34,"-")</f>
        <v>0</v>
      </c>
      <c r="G34" s="15"/>
      <c r="H34" s="15"/>
    </row>
    <row r="36" customFormat="false" ht="15" hidden="false" customHeight="false" outlineLevel="0" collapsed="false">
      <c r="C36" s="10" t="s">
        <v>206</v>
      </c>
      <c r="D36" s="10" t="n">
        <f aca="false">SUM(D5:D35)</f>
        <v>0</v>
      </c>
      <c r="E36" s="10" t="n">
        <f aca="false">SUM(E5:E35)</f>
        <v>0</v>
      </c>
      <c r="F36" s="10" t="n">
        <f aca="false">IFERROR(E36-D36,"-")</f>
        <v>0</v>
      </c>
      <c r="G36" s="10"/>
      <c r="H36" s="10" t="str">
        <f aca="false">IFERROR(AVERAGE(H5:H35),"-")</f>
        <v>-</v>
      </c>
    </row>
    <row r="39" customFormat="false" ht="15" hidden="false" customHeight="false" outlineLevel="0" collapsed="false">
      <c r="A39" s="16" t="s">
        <v>207</v>
      </c>
    </row>
    <row r="40" customFormat="false" ht="15" hidden="false" customHeight="false" outlineLevel="0" collapsed="false">
      <c r="A40" s="4" t="s">
        <v>204</v>
      </c>
      <c r="B40" s="5" t="s">
        <v>208</v>
      </c>
      <c r="C40" s="5"/>
      <c r="D40" s="5"/>
      <c r="E40" s="5"/>
      <c r="F40" s="5"/>
      <c r="G40" s="5"/>
      <c r="H40" s="5"/>
    </row>
    <row r="41" customFormat="false" ht="15" hidden="false" customHeight="false" outlineLevel="0" collapsed="false">
      <c r="A41" s="4" t="s">
        <v>205</v>
      </c>
      <c r="B41" s="5" t="s">
        <v>209</v>
      </c>
      <c r="C41" s="5"/>
      <c r="D41" s="5"/>
      <c r="E41" s="5"/>
      <c r="F41" s="5"/>
      <c r="G41" s="5"/>
      <c r="H41" s="5"/>
    </row>
    <row r="42" customFormat="false" ht="15" hidden="false" customHeight="false" outlineLevel="0" collapsed="false">
      <c r="A42" s="4" t="s">
        <v>210</v>
      </c>
      <c r="B42" s="5" t="s">
        <v>211</v>
      </c>
      <c r="C42" s="5"/>
      <c r="D42" s="5"/>
      <c r="E42" s="5"/>
      <c r="F42" s="5"/>
      <c r="G42" s="5"/>
      <c r="H42" s="5"/>
    </row>
    <row r="43" customFormat="false" ht="15" hidden="false" customHeight="false" outlineLevel="0" collapsed="false">
      <c r="A43" s="4" t="s">
        <v>212</v>
      </c>
      <c r="B43" s="5" t="s">
        <v>213</v>
      </c>
      <c r="C43" s="5"/>
      <c r="D43" s="5"/>
      <c r="E43" s="5"/>
      <c r="F43" s="5"/>
      <c r="G43" s="5"/>
      <c r="H43" s="5"/>
    </row>
  </sheetData>
  <mergeCells count="6">
    <mergeCell ref="A1:H1"/>
    <mergeCell ref="A2:H2"/>
    <mergeCell ref="B40:H40"/>
    <mergeCell ref="B41:H41"/>
    <mergeCell ref="B42:H42"/>
    <mergeCell ref="B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2026-04-26T17:47:54Z</dcterms:created>
  <dc:creator>openpyxl</dc:creator>
  <dc:description/>
  <dc:language>en-US</dc:language>
  <cp:lastModifiedBy/>
  <dcterms:modified xsi:type="dcterms:W3CDTF">2026-04-26T17:47:54Z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